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  <sheet name="Groups" sheetId="2" state="visible" r:id="rId4"/>
    <sheet name="TripPreferences" sheetId="3" state="visible" r:id="rId5"/>
    <sheet name="Itinerary" sheetId="4" state="visible" r:id="rId6"/>
    <sheet name="Paym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<sst xmlns="http://schemas.openxmlformats.org/spreadsheetml/2006/main" count="219" uniqueCount="138">
  <si>
    <t xml:space="preserve">user_id</t>
  </si>
  <si>
    <t xml:space="preserve">name</t>
  </si>
  <si>
    <t xml:space="preserve">age</t>
  </si>
  <si>
    <t xml:space="preserve">dietary_needs</t>
  </si>
  <si>
    <t xml:space="preserve">blacklist_activities</t>
  </si>
  <si>
    <t xml:space="preserve">blacklist_food</t>
  </si>
  <si>
    <t xml:space="preserve">email</t>
  </si>
  <si>
    <t xml:space="preserve">Alex</t>
  </si>
  <si>
    <t xml:space="preserve">Vegetarian</t>
  </si>
  <si>
    <t xml:space="preserve">Bungee jumping</t>
  </si>
  <si>
    <t xml:space="preserve">None</t>
  </si>
  <si>
    <t xml:space="preserve">alex@example.com</t>
  </si>
  <si>
    <t xml:space="preserve">Sam</t>
  </si>
  <si>
    <t xml:space="preserve">Seafood</t>
  </si>
  <si>
    <t xml:space="preserve">sam@example.com</t>
  </si>
  <si>
    <t xml:space="preserve">Jo</t>
  </si>
  <si>
    <t xml:space="preserve">Gluten-free</t>
  </si>
  <si>
    <t xml:space="preserve">jo@example.com</t>
  </si>
  <si>
    <t xml:space="preserve">Priya</t>
  </si>
  <si>
    <t xml:space="preserve">Extreme heights</t>
  </si>
  <si>
    <t xml:space="preserve">priya@example.com</t>
  </si>
  <si>
    <t xml:space="preserve">Marcus</t>
  </si>
  <si>
    <t xml:space="preserve">marcus@example.com</t>
  </si>
  <si>
    <t xml:space="preserve">Lena</t>
  </si>
  <si>
    <t xml:space="preserve">Vegan</t>
  </si>
  <si>
    <t xml:space="preserve">Skydiving</t>
  </si>
  <si>
    <t xml:space="preserve">lena@example.com</t>
  </si>
  <si>
    <t xml:space="preserve">Theo</t>
  </si>
  <si>
    <t xml:space="preserve">theo@example.com</t>
  </si>
  <si>
    <t xml:space="preserve">Nadia</t>
  </si>
  <si>
    <t xml:space="preserve">Nut allergy</t>
  </si>
  <si>
    <t xml:space="preserve">Spicy food</t>
  </si>
  <si>
    <t xml:space="preserve">nadia@example.com</t>
  </si>
  <si>
    <t xml:space="preserve">group_id</t>
  </si>
  <si>
    <t xml:space="preserve">trip_name</t>
  </si>
  <si>
    <t xml:space="preserve">destination</t>
  </si>
  <si>
    <t xml:space="preserve">start_date</t>
  </si>
  <si>
    <t xml:space="preserve">end_date</t>
  </si>
  <si>
    <t xml:space="preserve">invite_code</t>
  </si>
  <si>
    <t xml:space="preserve">organizer_user_id</t>
  </si>
  <si>
    <t xml:space="preserve">Osaka Weekend</t>
  </si>
  <si>
    <t xml:space="preserve">Osaka, Japan</t>
  </si>
  <si>
    <t xml:space="preserve">2026-11-14</t>
  </si>
  <si>
    <t xml:space="preserve">2026-11-17</t>
  </si>
  <si>
    <t xml:space="preserve">OSK4TRIP</t>
  </si>
  <si>
    <t xml:space="preserve">NZ South Island Roadtrip</t>
  </si>
  <si>
    <t xml:space="preserve">South Island, New Zealand</t>
  </si>
  <si>
    <t xml:space="preserve">2026-12-05</t>
  </si>
  <si>
    <t xml:space="preserve">2026-12-11</t>
  </si>
  <si>
    <t xml:space="preserve">NZSI2026</t>
  </si>
  <si>
    <t xml:space="preserve">budget_range</t>
  </si>
  <si>
    <t xml:space="preserve">must_do_activities</t>
  </si>
  <si>
    <t xml:space="preserve">date_flexibility</t>
  </si>
  <si>
    <t xml:space="preserve">notes</t>
  </si>
  <si>
    <t xml:space="preserve">$ (tight, under $300)</t>
  </si>
  <si>
    <t xml:space="preserve">Museums, hiking</t>
  </si>
  <si>
    <t xml:space="preserve">Flexible</t>
  </si>
  <si>
    <t xml:space="preserve">On a student budget, avoid pricey add-ons</t>
  </si>
  <si>
    <t xml:space="preserve">$$$ (over $800)</t>
  </si>
  <si>
    <t xml:space="preserve">Fine dining, shopping</t>
  </si>
  <si>
    <t xml:space="preserve">Fixed dates only</t>
  </si>
  <si>
    <t xml:space="preserve">Wants at least 1 nice dinner</t>
  </si>
  <si>
    <t xml:space="preserve">$$ ($300-500)</t>
  </si>
  <si>
    <t xml:space="preserve">Hiking, beach, local food</t>
  </si>
  <si>
    <t xml:space="preserve">Needs gluten-free food options nearby</t>
  </si>
  <si>
    <t xml:space="preserve">Shopping, nightlife</t>
  </si>
  <si>
    <t xml:space="preserve">Not a fan of early mornings</t>
  </si>
  <si>
    <t xml:space="preserve">$$ ($500-900)</t>
  </si>
  <si>
    <t xml:space="preserve">Hiking, road trip stops, photography</t>
  </si>
  <si>
    <t xml:space="preserve">Wants to drive part of the route</t>
  </si>
  <si>
    <t xml:space="preserve">$ (tight, under $500)</t>
  </si>
  <si>
    <t xml:space="preserve">Hiking, nature walks</t>
  </si>
  <si>
    <t xml:space="preserve">Vegan-friendly stops needed daily</t>
  </si>
  <si>
    <t xml:space="preserve">$$$ (over $1200)</t>
  </si>
  <si>
    <t xml:space="preserve">Skydiving, bungee, adventure sports</t>
  </si>
  <si>
    <t xml:space="preserve">Organizing the trip, has a car</t>
  </si>
  <si>
    <t xml:space="preserve">Scenic drives, wildlife spotting</t>
  </si>
  <si>
    <t xml:space="preserve">Nut allergy — needs to check every stop in advance</t>
  </si>
  <si>
    <t xml:space="preserve">Note: deliberate conflicts baked in for demo. Trip 1 - Alex's tight budget vs Sam's $$$ expectation; Jo's gluten-free need vs no dietary field filled for the hiking day. Trip 2 - Lena's tight budget + vegan needs vs Theo wanting pricey adventure sports; Nadia's nut allergy vs Lena wanting frequent food stops.</t>
  </si>
  <si>
    <t xml:space="preserve">day</t>
  </si>
  <si>
    <t xml:space="preserve">date</t>
  </si>
  <si>
    <t xml:space="preserve">activity</t>
  </si>
  <si>
    <t xml:space="preserve">est_cost_per_person</t>
  </si>
  <si>
    <t xml:space="preserve">split_among_user_ids</t>
  </si>
  <si>
    <t xml:space="preserve">flag</t>
  </si>
  <si>
    <t xml:space="preserve">Arrive, check into hotel</t>
  </si>
  <si>
    <t xml:space="preserve">1,2,3,4</t>
  </si>
  <si>
    <t xml:space="preserve">Dotonbori food walk</t>
  </si>
  <si>
    <t xml:space="preserve">Jo needs gluten-free stall list</t>
  </si>
  <si>
    <t xml:space="preserve">2026-11-15</t>
  </si>
  <si>
    <t xml:space="preserve">Osaka Castle + museum</t>
  </si>
  <si>
    <t xml:space="preserve">Fine dining dinner (Sam's pick)</t>
  </si>
  <si>
    <t xml:space="preserve">2,4</t>
  </si>
  <si>
    <t xml:space="preserve">Budget conflict: exceeds Alex's daily cap, so opted out</t>
  </si>
  <si>
    <t xml:space="preserve">2026-11-16</t>
  </si>
  <si>
    <t xml:space="preserve">Minoo hiking trail</t>
  </si>
  <si>
    <t xml:space="preserve">1,3</t>
  </si>
  <si>
    <t xml:space="preserve">Sam and Priya opted out (prefer shopping)</t>
  </si>
  <si>
    <t xml:space="preserve">Shinsaibashi shopping</t>
  </si>
  <si>
    <t xml:space="preserve">Depart</t>
  </si>
  <si>
    <t xml:space="preserve">Arrive Christchurch, pick up rental car</t>
  </si>
  <si>
    <t xml:space="preserve">5,6,7,8</t>
  </si>
  <si>
    <t xml:space="preserve">Theo covers deposit, split on arrival</t>
  </si>
  <si>
    <t xml:space="preserve">2026-12-06</t>
  </si>
  <si>
    <t xml:space="preserve">Drive to Aoraki/Mt Cook, scenic stops</t>
  </si>
  <si>
    <t xml:space="preserve">Hooker Valley hike</t>
  </si>
  <si>
    <t xml:space="preserve">5,6,8</t>
  </si>
  <si>
    <t xml:space="preserve">Theo opted out, doing tandem skydive instead</t>
  </si>
  <si>
    <t xml:space="preserve">Tandem skydive (Theo)</t>
  </si>
  <si>
    <t xml:space="preserve">7</t>
  </si>
  <si>
    <t xml:space="preserve">Solo cost, not split with group</t>
  </si>
  <si>
    <t xml:space="preserve">2026-12-07</t>
  </si>
  <si>
    <t xml:space="preserve">Drive to Wanaka, lakeside picnic</t>
  </si>
  <si>
    <t xml:space="preserve">Nadia to confirm no nuts in shared snacks</t>
  </si>
  <si>
    <t xml:space="preserve">2026-12-08</t>
  </si>
  <si>
    <t xml:space="preserve">Queenstown bungee jump</t>
  </si>
  <si>
    <t xml:space="preserve">7,8</t>
  </si>
  <si>
    <t xml:space="preserve">Lena and Marcus opted out (Lena's blacklist + budget)</t>
  </si>
  <si>
    <t xml:space="preserve">Queenstown town exploring</t>
  </si>
  <si>
    <t xml:space="preserve">2026-12-09</t>
  </si>
  <si>
    <t xml:space="preserve">Milford Sound day cruise</t>
  </si>
  <si>
    <t xml:space="preserve">2026-12-10</t>
  </si>
  <si>
    <t xml:space="preserve">Free day / laundry / rest</t>
  </si>
  <si>
    <t xml:space="preserve">Drive back to Christchurch, depart</t>
  </si>
  <si>
    <t xml:space="preserve">This sheet mocks what Person B's agent (Claude) will eventually generate as JSON. split_among_user_ids drives Person C's cost calc below — edit these to test different scenarios. Note Theo's solo skydive (row for group 2) shows a cost NOT split with the group — good edge case to test.</t>
  </si>
  <si>
    <t xml:space="preserve">activity_ref</t>
  </si>
  <si>
    <t xml:space="preserve">from_user_id</t>
  </si>
  <si>
    <t xml:space="preserve">to_user_id</t>
  </si>
  <si>
    <t xml:space="preserve">amount_owed</t>
  </si>
  <si>
    <t xml:space="preserve">paid</t>
  </si>
  <si>
    <t xml:space="preserve">No</t>
  </si>
  <si>
    <t xml:space="preserve">Yes</t>
  </si>
  <si>
    <t xml:space="preserve">Fine dining dinner</t>
  </si>
  <si>
    <t xml:space="preserve">Rental car pickup</t>
  </si>
  <si>
    <t xml:space="preserve">Lakeside picnic</t>
  </si>
  <si>
    <t xml:space="preserve">Summary: total still owed per person, per trip (SUMIFS formula)</t>
  </si>
  <si>
    <t xml:space="preserve">total_owed_unpaid</t>
  </si>
  <si>
    <t xml:space="preserve">Edit 'paid' (Yes/No) above and the totals here will recalculate. This models the exact function Person C needs to build: SUM owed where paid = No, grouped by user AND by trip.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</si>
</sst>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n">
        <v>21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n">
        <v>2</v>
      </c>
      <c r="B3" s="2" t="s">
        <v>12</v>
      </c>
      <c r="C3" s="2" t="n">
        <v>22</v>
      </c>
      <c r="D3" s="2" t="s">
        <v>10</v>
      </c>
      <c r="E3" s="2" t="s">
        <v>10</v>
      </c>
      <c r="F3" s="2" t="s">
        <v>13</v>
      </c>
      <c r="G3" s="2" t="s">
        <v>14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n">
        <v>20</v>
      </c>
      <c r="D4" s="2" t="s">
        <v>16</v>
      </c>
      <c r="E4" s="2" t="s">
        <v>10</v>
      </c>
      <c r="F4" s="2" t="s">
        <v>10</v>
      </c>
      <c r="G4" s="2" t="s">
        <v>17</v>
      </c>
    </row>
    <row r="5" customFormat="false" ht="15" hidden="false" customHeight="false" outlineLevel="0" collapsed="false">
      <c r="A5" s="2" t="n">
        <v>4</v>
      </c>
      <c r="B5" s="2" t="s">
        <v>18</v>
      </c>
      <c r="C5" s="2" t="n">
        <v>23</v>
      </c>
      <c r="D5" s="2" t="s">
        <v>10</v>
      </c>
      <c r="E5" s="2" t="s">
        <v>19</v>
      </c>
      <c r="F5" s="2" t="s">
        <v>10</v>
      </c>
      <c r="G5" s="2" t="s">
        <v>20</v>
      </c>
    </row>
    <row r="6" customFormat="false" ht="15" hidden="false" customHeight="false" outlineLevel="0" collapsed="false">
      <c r="A6" s="2" t="n">
        <v>5</v>
      </c>
      <c r="B6" s="2" t="s">
        <v>21</v>
      </c>
      <c r="C6" s="2" t="n">
        <v>22</v>
      </c>
      <c r="D6" s="2" t="s">
        <v>10</v>
      </c>
      <c r="E6" s="2" t="s">
        <v>10</v>
      </c>
      <c r="F6" s="2" t="s">
        <v>10</v>
      </c>
      <c r="G6" s="2" t="s">
        <v>22</v>
      </c>
    </row>
    <row r="7" customFormat="false" ht="15" hidden="false" customHeight="false" outlineLevel="0" collapsed="false">
      <c r="A7" s="2" t="n">
        <v>6</v>
      </c>
      <c r="B7" s="2" t="s">
        <v>23</v>
      </c>
      <c r="C7" s="2" t="n">
        <v>21</v>
      </c>
      <c r="D7" s="2" t="s">
        <v>24</v>
      </c>
      <c r="E7" s="2" t="s">
        <v>25</v>
      </c>
      <c r="F7" s="2" t="s">
        <v>10</v>
      </c>
      <c r="G7" s="2" t="s">
        <v>26</v>
      </c>
    </row>
    <row r="8" customFormat="false" ht="15" hidden="false" customHeight="false" outlineLevel="0" collapsed="false">
      <c r="A8" s="2" t="n">
        <v>7</v>
      </c>
      <c r="B8" s="2" t="s">
        <v>27</v>
      </c>
      <c r="C8" s="2" t="n">
        <v>23</v>
      </c>
      <c r="D8" s="2" t="s">
        <v>10</v>
      </c>
      <c r="E8" s="2" t="s">
        <v>10</v>
      </c>
      <c r="F8" s="2" t="s">
        <v>10</v>
      </c>
      <c r="G8" s="2" t="s">
        <v>28</v>
      </c>
    </row>
    <row r="9" customFormat="false" ht="15" hidden="false" customHeight="false" outlineLevel="0" collapsed="false">
      <c r="A9" s="2" t="n">
        <v>8</v>
      </c>
      <c r="B9" s="2" t="s">
        <v>29</v>
      </c>
      <c r="C9" s="2" t="n">
        <v>20</v>
      </c>
      <c r="D9" s="2" t="s">
        <v>30</v>
      </c>
      <c r="E9" s="2" t="s">
        <v>10</v>
      </c>
      <c r="F9" s="2" t="s">
        <v>31</v>
      </c>
      <c r="G9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26.8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customFormat="false" ht="15" hidden="false" customHeight="false" outlineLevel="0" collapsed="false">
      <c r="A2" s="2" t="n">
        <v>1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n">
        <v>4</v>
      </c>
    </row>
    <row r="3" customFormat="false" ht="26.85" hidden="false" customHeight="false" outlineLevel="0" collapsed="false">
      <c r="A3" s="2" t="n">
        <v>2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36"/>
  </cols>
  <sheetData>
    <row r="1" customFormat="false" ht="15" hidden="false" customHeight="false" outlineLevel="0" collapsed="false">
      <c r="A1" s="1" t="s">
        <v>33</v>
      </c>
      <c r="B1" s="1" t="s">
        <v>0</v>
      </c>
      <c r="C1" s="1" t="s">
        <v>50</v>
      </c>
      <c r="D1" s="1" t="s">
        <v>51</v>
      </c>
      <c r="E1" s="1" t="s">
        <v>52</v>
      </c>
      <c r="F1" s="1" t="s">
        <v>53</v>
      </c>
    </row>
    <row r="2" customFormat="false" ht="26.85" hidden="false" customHeight="false" outlineLevel="0" collapsed="false">
      <c r="A2" s="2" t="n">
        <v>1</v>
      </c>
      <c r="B2" s="2" t="n">
        <v>1</v>
      </c>
      <c r="C2" s="2" t="s">
        <v>54</v>
      </c>
      <c r="D2" s="2" t="s">
        <v>55</v>
      </c>
      <c r="E2" s="2" t="s">
        <v>56</v>
      </c>
      <c r="F2" s="2" t="s">
        <v>57</v>
      </c>
    </row>
    <row r="3" customFormat="false" ht="15" hidden="false" customHeight="false" outlineLevel="0" collapsed="false">
      <c r="A3" s="2" t="n">
        <v>1</v>
      </c>
      <c r="B3" s="2" t="n">
        <v>2</v>
      </c>
      <c r="C3" s="2" t="s">
        <v>58</v>
      </c>
      <c r="D3" s="2" t="s">
        <v>59</v>
      </c>
      <c r="E3" s="2" t="s">
        <v>60</v>
      </c>
      <c r="F3" s="2" t="s">
        <v>61</v>
      </c>
    </row>
    <row r="4" customFormat="false" ht="26.85" hidden="false" customHeight="false" outlineLevel="0" collapsed="false">
      <c r="A4" s="2" t="n">
        <v>1</v>
      </c>
      <c r="B4" s="2" t="n">
        <v>3</v>
      </c>
      <c r="C4" s="2" t="s">
        <v>62</v>
      </c>
      <c r="D4" s="2" t="s">
        <v>63</v>
      </c>
      <c r="E4" s="2" t="s">
        <v>56</v>
      </c>
      <c r="F4" s="2" t="s">
        <v>64</v>
      </c>
    </row>
    <row r="5" customFormat="false" ht="15" hidden="false" customHeight="false" outlineLevel="0" collapsed="false">
      <c r="A5" s="2" t="n">
        <v>1</v>
      </c>
      <c r="B5" s="2" t="n">
        <v>4</v>
      </c>
      <c r="C5" s="2" t="s">
        <v>62</v>
      </c>
      <c r="D5" s="2" t="s">
        <v>65</v>
      </c>
      <c r="E5" s="2" t="s">
        <v>60</v>
      </c>
      <c r="F5" s="2" t="s">
        <v>66</v>
      </c>
    </row>
    <row r="6" customFormat="false" ht="26.85" hidden="false" customHeight="false" outlineLevel="0" collapsed="false">
      <c r="A6" s="2" t="n">
        <v>2</v>
      </c>
      <c r="B6" s="2" t="n">
        <v>5</v>
      </c>
      <c r="C6" s="2" t="s">
        <v>67</v>
      </c>
      <c r="D6" s="2" t="s">
        <v>68</v>
      </c>
      <c r="E6" s="2" t="s">
        <v>56</v>
      </c>
      <c r="F6" s="2" t="s">
        <v>69</v>
      </c>
    </row>
    <row r="7" customFormat="false" ht="15" hidden="false" customHeight="false" outlineLevel="0" collapsed="false">
      <c r="A7" s="2" t="n">
        <v>2</v>
      </c>
      <c r="B7" s="2" t="n">
        <v>6</v>
      </c>
      <c r="C7" s="2" t="s">
        <v>70</v>
      </c>
      <c r="D7" s="2" t="s">
        <v>71</v>
      </c>
      <c r="E7" s="2" t="s">
        <v>56</v>
      </c>
      <c r="F7" s="2" t="s">
        <v>72</v>
      </c>
    </row>
    <row r="8" customFormat="false" ht="26.85" hidden="false" customHeight="false" outlineLevel="0" collapsed="false">
      <c r="A8" s="2" t="n">
        <v>2</v>
      </c>
      <c r="B8" s="2" t="n">
        <v>7</v>
      </c>
      <c r="C8" s="2" t="s">
        <v>73</v>
      </c>
      <c r="D8" s="2" t="s">
        <v>74</v>
      </c>
      <c r="E8" s="2" t="s">
        <v>60</v>
      </c>
      <c r="F8" s="2" t="s">
        <v>75</v>
      </c>
    </row>
    <row r="9" customFormat="false" ht="26.85" hidden="false" customHeight="false" outlineLevel="0" collapsed="false">
      <c r="A9" s="2" t="n">
        <v>2</v>
      </c>
      <c r="B9" s="2" t="n">
        <v>8</v>
      </c>
      <c r="C9" s="2" t="s">
        <v>67</v>
      </c>
      <c r="D9" s="2" t="s">
        <v>76</v>
      </c>
      <c r="E9" s="2" t="s">
        <v>60</v>
      </c>
      <c r="F9" s="2" t="s">
        <v>77</v>
      </c>
    </row>
    <row r="11" customFormat="false" ht="15" hidden="false" customHeight="false" outlineLevel="0" collapsed="false">
      <c r="A11" s="3" t="s">
        <v>78</v>
      </c>
      <c r="B11" s="3"/>
      <c r="C11" s="3"/>
      <c r="D11" s="3"/>
      <c r="E11" s="3"/>
      <c r="F11" s="3"/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20"/>
    <col collapsed="false" customWidth="true" hidden="false" outlineLevel="0" max="7" min="7" style="0" width="40"/>
  </cols>
  <sheetData>
    <row r="1" customFormat="false" ht="26.85" hidden="false" customHeight="false" outlineLevel="0" collapsed="false">
      <c r="A1" s="1" t="s">
        <v>33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42</v>
      </c>
      <c r="D2" s="2" t="s">
        <v>85</v>
      </c>
      <c r="E2" s="2" t="n">
        <v>0</v>
      </c>
      <c r="F2" s="2" t="s">
        <v>86</v>
      </c>
      <c r="G2" s="2"/>
    </row>
    <row r="3" customFormat="false" ht="15" hidden="false" customHeight="false" outlineLevel="0" collapsed="false">
      <c r="A3" s="2" t="n">
        <v>1</v>
      </c>
      <c r="B3" s="2" t="n">
        <v>1</v>
      </c>
      <c r="C3" s="2" t="s">
        <v>42</v>
      </c>
      <c r="D3" s="2" t="s">
        <v>87</v>
      </c>
      <c r="E3" s="2" t="n">
        <v>15</v>
      </c>
      <c r="F3" s="2" t="s">
        <v>86</v>
      </c>
      <c r="G3" s="2" t="s">
        <v>88</v>
      </c>
    </row>
    <row r="4" customFormat="false" ht="15" hidden="false" customHeight="false" outlineLevel="0" collapsed="false">
      <c r="A4" s="2" t="n">
        <v>1</v>
      </c>
      <c r="B4" s="2" t="n">
        <v>2</v>
      </c>
      <c r="C4" s="2" t="s">
        <v>89</v>
      </c>
      <c r="D4" s="2" t="s">
        <v>90</v>
      </c>
      <c r="E4" s="2" t="n">
        <v>12</v>
      </c>
      <c r="F4" s="2" t="s">
        <v>86</v>
      </c>
      <c r="G4" s="2"/>
    </row>
    <row r="5" customFormat="false" ht="26.85" hidden="false" customHeight="false" outlineLevel="0" collapsed="false">
      <c r="A5" s="2" t="n">
        <v>1</v>
      </c>
      <c r="B5" s="2" t="n">
        <v>2</v>
      </c>
      <c r="C5" s="2" t="s">
        <v>89</v>
      </c>
      <c r="D5" s="2" t="s">
        <v>91</v>
      </c>
      <c r="E5" s="2" t="n">
        <v>90</v>
      </c>
      <c r="F5" s="2" t="s">
        <v>92</v>
      </c>
      <c r="G5" s="2" t="s">
        <v>93</v>
      </c>
    </row>
    <row r="6" customFormat="false" ht="15" hidden="false" customHeight="false" outlineLevel="0" collapsed="false">
      <c r="A6" s="2" t="n">
        <v>1</v>
      </c>
      <c r="B6" s="2" t="n">
        <v>3</v>
      </c>
      <c r="C6" s="2" t="s">
        <v>94</v>
      </c>
      <c r="D6" s="2" t="s">
        <v>95</v>
      </c>
      <c r="E6" s="2" t="n">
        <v>5</v>
      </c>
      <c r="F6" s="2" t="s">
        <v>96</v>
      </c>
      <c r="G6" s="2" t="s">
        <v>97</v>
      </c>
    </row>
    <row r="7" customFormat="false" ht="15" hidden="false" customHeight="false" outlineLevel="0" collapsed="false">
      <c r="A7" s="2" t="n">
        <v>1</v>
      </c>
      <c r="B7" s="2" t="n">
        <v>3</v>
      </c>
      <c r="C7" s="2" t="s">
        <v>94</v>
      </c>
      <c r="D7" s="2" t="s">
        <v>98</v>
      </c>
      <c r="E7" s="2" t="n">
        <v>0</v>
      </c>
      <c r="F7" s="2" t="s">
        <v>92</v>
      </c>
      <c r="G7" s="2"/>
    </row>
    <row r="8" customFormat="false" ht="15" hidden="false" customHeight="false" outlineLevel="0" collapsed="false">
      <c r="A8" s="2" t="n">
        <v>1</v>
      </c>
      <c r="B8" s="2" t="n">
        <v>4</v>
      </c>
      <c r="C8" s="2" t="s">
        <v>43</v>
      </c>
      <c r="D8" s="2" t="s">
        <v>99</v>
      </c>
      <c r="E8" s="2" t="n">
        <v>0</v>
      </c>
      <c r="F8" s="2" t="s">
        <v>86</v>
      </c>
      <c r="G8" s="2"/>
    </row>
    <row r="9" customFormat="false" ht="26.85" hidden="false" customHeight="false" outlineLevel="0" collapsed="false">
      <c r="A9" s="2" t="n">
        <v>2</v>
      </c>
      <c r="B9" s="2" t="n">
        <v>1</v>
      </c>
      <c r="C9" s="2" t="s">
        <v>47</v>
      </c>
      <c r="D9" s="2" t="s">
        <v>100</v>
      </c>
      <c r="E9" s="2" t="n">
        <v>40</v>
      </c>
      <c r="F9" s="2" t="s">
        <v>101</v>
      </c>
      <c r="G9" s="2" t="s">
        <v>102</v>
      </c>
    </row>
    <row r="10" customFormat="false" ht="26.85" hidden="false" customHeight="false" outlineLevel="0" collapsed="false">
      <c r="A10" s="2" t="n">
        <v>2</v>
      </c>
      <c r="B10" s="2" t="n">
        <v>2</v>
      </c>
      <c r="C10" s="2" t="s">
        <v>103</v>
      </c>
      <c r="D10" s="2" t="s">
        <v>104</v>
      </c>
      <c r="E10" s="2" t="n">
        <v>0</v>
      </c>
      <c r="F10" s="2" t="s">
        <v>101</v>
      </c>
      <c r="G10" s="2"/>
    </row>
    <row r="11" customFormat="false" ht="26.85" hidden="false" customHeight="false" outlineLevel="0" collapsed="false">
      <c r="A11" s="2" t="n">
        <v>2</v>
      </c>
      <c r="B11" s="2" t="n">
        <v>2</v>
      </c>
      <c r="C11" s="2" t="s">
        <v>103</v>
      </c>
      <c r="D11" s="2" t="s">
        <v>105</v>
      </c>
      <c r="E11" s="2" t="n">
        <v>0</v>
      </c>
      <c r="F11" s="2" t="s">
        <v>106</v>
      </c>
      <c r="G11" s="2" t="s">
        <v>107</v>
      </c>
    </row>
    <row r="12" customFormat="false" ht="15" hidden="false" customHeight="false" outlineLevel="0" collapsed="false">
      <c r="A12" s="2" t="n">
        <v>2</v>
      </c>
      <c r="B12" s="2" t="n">
        <v>2</v>
      </c>
      <c r="C12" s="2" t="s">
        <v>103</v>
      </c>
      <c r="D12" s="2" t="s">
        <v>108</v>
      </c>
      <c r="E12" s="2" t="n">
        <v>320</v>
      </c>
      <c r="F12" s="2" t="s">
        <v>109</v>
      </c>
      <c r="G12" s="2" t="s">
        <v>110</v>
      </c>
    </row>
    <row r="13" customFormat="false" ht="15" hidden="false" customHeight="false" outlineLevel="0" collapsed="false">
      <c r="A13" s="2" t="n">
        <v>2</v>
      </c>
      <c r="B13" s="2" t="n">
        <v>3</v>
      </c>
      <c r="C13" s="2" t="s">
        <v>111</v>
      </c>
      <c r="D13" s="2" t="s">
        <v>112</v>
      </c>
      <c r="E13" s="2" t="n">
        <v>20</v>
      </c>
      <c r="F13" s="2" t="s">
        <v>101</v>
      </c>
      <c r="G13" s="2" t="s">
        <v>113</v>
      </c>
    </row>
    <row r="14" customFormat="false" ht="26.85" hidden="false" customHeight="false" outlineLevel="0" collapsed="false">
      <c r="A14" s="2" t="n">
        <v>2</v>
      </c>
      <c r="B14" s="2" t="n">
        <v>4</v>
      </c>
      <c r="C14" s="2" t="s">
        <v>114</v>
      </c>
      <c r="D14" s="2" t="s">
        <v>115</v>
      </c>
      <c r="E14" s="2" t="n">
        <v>220</v>
      </c>
      <c r="F14" s="2" t="s">
        <v>116</v>
      </c>
      <c r="G14" s="2" t="s">
        <v>117</v>
      </c>
    </row>
    <row r="15" customFormat="false" ht="15" hidden="false" customHeight="false" outlineLevel="0" collapsed="false">
      <c r="A15" s="2" t="n">
        <v>2</v>
      </c>
      <c r="B15" s="2" t="n">
        <v>4</v>
      </c>
      <c r="C15" s="2" t="s">
        <v>114</v>
      </c>
      <c r="D15" s="2" t="s">
        <v>118</v>
      </c>
      <c r="E15" s="2" t="n">
        <v>0</v>
      </c>
      <c r="F15" s="2" t="s">
        <v>101</v>
      </c>
      <c r="G15" s="2"/>
    </row>
    <row r="16" customFormat="false" ht="15" hidden="false" customHeight="false" outlineLevel="0" collapsed="false">
      <c r="A16" s="2" t="n">
        <v>2</v>
      </c>
      <c r="B16" s="2" t="n">
        <v>5</v>
      </c>
      <c r="C16" s="2" t="s">
        <v>119</v>
      </c>
      <c r="D16" s="2" t="s">
        <v>120</v>
      </c>
      <c r="E16" s="2" t="n">
        <v>130</v>
      </c>
      <c r="F16" s="2" t="s">
        <v>101</v>
      </c>
      <c r="G16" s="2"/>
    </row>
    <row r="17" customFormat="false" ht="15" hidden="false" customHeight="false" outlineLevel="0" collapsed="false">
      <c r="A17" s="2" t="n">
        <v>2</v>
      </c>
      <c r="B17" s="2" t="n">
        <v>6</v>
      </c>
      <c r="C17" s="2" t="s">
        <v>121</v>
      </c>
      <c r="D17" s="2" t="s">
        <v>122</v>
      </c>
      <c r="E17" s="2" t="n">
        <v>0</v>
      </c>
      <c r="F17" s="2" t="s">
        <v>101</v>
      </c>
      <c r="G17" s="2"/>
    </row>
    <row r="18" customFormat="false" ht="15" hidden="false" customHeight="false" outlineLevel="0" collapsed="false">
      <c r="A18" s="2" t="n">
        <v>2</v>
      </c>
      <c r="B18" s="2" t="n">
        <v>7</v>
      </c>
      <c r="C18" s="2" t="s">
        <v>48</v>
      </c>
      <c r="D18" s="2" t="s">
        <v>123</v>
      </c>
      <c r="E18" s="2" t="n">
        <v>0</v>
      </c>
      <c r="F18" s="2" t="s">
        <v>101</v>
      </c>
      <c r="G18" s="2"/>
    </row>
    <row r="20" customFormat="false" ht="15" hidden="false" customHeight="false" outlineLevel="0" collapsed="false">
      <c r="A20" s="3" t="s">
        <v>124</v>
      </c>
      <c r="B20" s="3"/>
      <c r="C20" s="3"/>
      <c r="D20" s="3"/>
      <c r="E20" s="3"/>
      <c r="F20" s="3"/>
      <c r="G20" s="3"/>
    </row>
  </sheetData>
  <mergeCells count="1"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8"/>
  </cols>
  <sheetData>
    <row r="1" customFormat="false" ht="26.85" hidden="false" customHeight="false" outlineLevel="0" collapsed="false">
      <c r="A1" s="1" t="s">
        <v>33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</row>
    <row r="2" customFormat="false" ht="15" hidden="false" customHeight="false" outlineLevel="0" collapsed="false">
      <c r="A2" s="2" t="n">
        <v>1</v>
      </c>
      <c r="B2" s="2" t="s">
        <v>87</v>
      </c>
      <c r="C2" s="2" t="n">
        <v>1</v>
      </c>
      <c r="D2" s="2" t="n">
        <v>4</v>
      </c>
      <c r="E2" s="2" t="n">
        <v>15</v>
      </c>
      <c r="F2" s="2" t="s">
        <v>130</v>
      </c>
    </row>
    <row r="3" customFormat="false" ht="15" hidden="false" customHeight="false" outlineLevel="0" collapsed="false">
      <c r="A3" s="2" t="n">
        <v>1</v>
      </c>
      <c r="B3" s="2" t="s">
        <v>87</v>
      </c>
      <c r="C3" s="2" t="n">
        <v>2</v>
      </c>
      <c r="D3" s="2" t="n">
        <v>4</v>
      </c>
      <c r="E3" s="2" t="n">
        <v>15</v>
      </c>
      <c r="F3" s="2" t="s">
        <v>131</v>
      </c>
    </row>
    <row r="4" customFormat="false" ht="15" hidden="false" customHeight="false" outlineLevel="0" collapsed="false">
      <c r="A4" s="2" t="n">
        <v>1</v>
      </c>
      <c r="B4" s="2" t="s">
        <v>87</v>
      </c>
      <c r="C4" s="2" t="n">
        <v>3</v>
      </c>
      <c r="D4" s="2" t="n">
        <v>4</v>
      </c>
      <c r="E4" s="2" t="n">
        <v>15</v>
      </c>
      <c r="F4" s="2" t="s">
        <v>130</v>
      </c>
    </row>
    <row r="5" customFormat="false" ht="15" hidden="false" customHeight="false" outlineLevel="0" collapsed="false">
      <c r="A5" s="2" t="n">
        <v>1</v>
      </c>
      <c r="B5" s="2" t="s">
        <v>90</v>
      </c>
      <c r="C5" s="2" t="n">
        <v>1</v>
      </c>
      <c r="D5" s="2" t="n">
        <v>4</v>
      </c>
      <c r="E5" s="2" t="n">
        <v>12</v>
      </c>
      <c r="F5" s="2" t="s">
        <v>130</v>
      </c>
    </row>
    <row r="6" customFormat="false" ht="15" hidden="false" customHeight="false" outlineLevel="0" collapsed="false">
      <c r="A6" s="2" t="n">
        <v>1</v>
      </c>
      <c r="B6" s="2" t="s">
        <v>90</v>
      </c>
      <c r="C6" s="2" t="n">
        <v>2</v>
      </c>
      <c r="D6" s="2" t="n">
        <v>4</v>
      </c>
      <c r="E6" s="2" t="n">
        <v>12</v>
      </c>
      <c r="F6" s="2" t="s">
        <v>131</v>
      </c>
    </row>
    <row r="7" customFormat="false" ht="15" hidden="false" customHeight="false" outlineLevel="0" collapsed="false">
      <c r="A7" s="2" t="n">
        <v>1</v>
      </c>
      <c r="B7" s="2" t="s">
        <v>90</v>
      </c>
      <c r="C7" s="2" t="n">
        <v>3</v>
      </c>
      <c r="D7" s="2" t="n">
        <v>4</v>
      </c>
      <c r="E7" s="2" t="n">
        <v>12</v>
      </c>
      <c r="F7" s="2" t="s">
        <v>130</v>
      </c>
    </row>
    <row r="8" customFormat="false" ht="15" hidden="false" customHeight="false" outlineLevel="0" collapsed="false">
      <c r="A8" s="2" t="n">
        <v>1</v>
      </c>
      <c r="B8" s="2" t="s">
        <v>132</v>
      </c>
      <c r="C8" s="2" t="n">
        <v>2</v>
      </c>
      <c r="D8" s="2" t="n">
        <v>4</v>
      </c>
      <c r="E8" s="2" t="n">
        <v>90</v>
      </c>
      <c r="F8" s="2" t="s">
        <v>130</v>
      </c>
    </row>
    <row r="9" customFormat="false" ht="15" hidden="false" customHeight="false" outlineLevel="0" collapsed="false">
      <c r="A9" s="2" t="n">
        <v>1</v>
      </c>
      <c r="B9" s="2" t="s">
        <v>95</v>
      </c>
      <c r="C9" s="2" t="n">
        <v>1</v>
      </c>
      <c r="D9" s="2" t="n">
        <v>4</v>
      </c>
      <c r="E9" s="2" t="n">
        <v>5</v>
      </c>
      <c r="F9" s="2" t="s">
        <v>130</v>
      </c>
    </row>
    <row r="10" customFormat="false" ht="15" hidden="false" customHeight="false" outlineLevel="0" collapsed="false">
      <c r="A10" s="2" t="n">
        <v>1</v>
      </c>
      <c r="B10" s="2" t="s">
        <v>95</v>
      </c>
      <c r="C10" s="2" t="n">
        <v>3</v>
      </c>
      <c r="D10" s="2" t="n">
        <v>4</v>
      </c>
      <c r="E10" s="2" t="n">
        <v>5</v>
      </c>
      <c r="F10" s="2" t="s">
        <v>130</v>
      </c>
    </row>
    <row r="11" customFormat="false" ht="15" hidden="false" customHeight="false" outlineLevel="0" collapsed="false">
      <c r="A11" s="2" t="n">
        <v>2</v>
      </c>
      <c r="B11" s="2" t="s">
        <v>133</v>
      </c>
      <c r="C11" s="2" t="n">
        <v>5</v>
      </c>
      <c r="D11" s="2" t="n">
        <v>7</v>
      </c>
      <c r="E11" s="2" t="n">
        <v>40</v>
      </c>
      <c r="F11" s="2" t="s">
        <v>130</v>
      </c>
    </row>
    <row r="12" customFormat="false" ht="15" hidden="false" customHeight="false" outlineLevel="0" collapsed="false">
      <c r="A12" s="2" t="n">
        <v>2</v>
      </c>
      <c r="B12" s="2" t="s">
        <v>133</v>
      </c>
      <c r="C12" s="2" t="n">
        <v>6</v>
      </c>
      <c r="D12" s="2" t="n">
        <v>7</v>
      </c>
      <c r="E12" s="2" t="n">
        <v>40</v>
      </c>
      <c r="F12" s="2" t="s">
        <v>131</v>
      </c>
    </row>
    <row r="13" customFormat="false" ht="15" hidden="false" customHeight="false" outlineLevel="0" collapsed="false">
      <c r="A13" s="2" t="n">
        <v>2</v>
      </c>
      <c r="B13" s="2" t="s">
        <v>133</v>
      </c>
      <c r="C13" s="2" t="n">
        <v>8</v>
      </c>
      <c r="D13" s="2" t="n">
        <v>7</v>
      </c>
      <c r="E13" s="2" t="n">
        <v>40</v>
      </c>
      <c r="F13" s="2" t="s">
        <v>130</v>
      </c>
    </row>
    <row r="14" customFormat="false" ht="15" hidden="false" customHeight="false" outlineLevel="0" collapsed="false">
      <c r="A14" s="2" t="n">
        <v>2</v>
      </c>
      <c r="B14" s="2" t="s">
        <v>134</v>
      </c>
      <c r="C14" s="2" t="n">
        <v>5</v>
      </c>
      <c r="D14" s="2" t="n">
        <v>7</v>
      </c>
      <c r="E14" s="2" t="n">
        <v>20</v>
      </c>
      <c r="F14" s="2" t="s">
        <v>131</v>
      </c>
    </row>
    <row r="15" customFormat="false" ht="15" hidden="false" customHeight="false" outlineLevel="0" collapsed="false">
      <c r="A15" s="2" t="n">
        <v>2</v>
      </c>
      <c r="B15" s="2" t="s">
        <v>134</v>
      </c>
      <c r="C15" s="2" t="n">
        <v>6</v>
      </c>
      <c r="D15" s="2" t="n">
        <v>7</v>
      </c>
      <c r="E15" s="2" t="n">
        <v>20</v>
      </c>
      <c r="F15" s="2" t="s">
        <v>130</v>
      </c>
    </row>
    <row r="16" customFormat="false" ht="15" hidden="false" customHeight="false" outlineLevel="0" collapsed="false">
      <c r="A16" s="2" t="n">
        <v>2</v>
      </c>
      <c r="B16" s="2" t="s">
        <v>134</v>
      </c>
      <c r="C16" s="2" t="n">
        <v>8</v>
      </c>
      <c r="D16" s="2" t="n">
        <v>7</v>
      </c>
      <c r="E16" s="2" t="n">
        <v>20</v>
      </c>
      <c r="F16" s="2" t="s">
        <v>130</v>
      </c>
    </row>
    <row r="17" customFormat="false" ht="15" hidden="false" customHeight="false" outlineLevel="0" collapsed="false">
      <c r="A17" s="2" t="n">
        <v>2</v>
      </c>
      <c r="B17" s="2" t="s">
        <v>115</v>
      </c>
      <c r="C17" s="2" t="n">
        <v>8</v>
      </c>
      <c r="D17" s="2" t="n">
        <v>7</v>
      </c>
      <c r="E17" s="2" t="n">
        <v>220</v>
      </c>
      <c r="F17" s="2" t="s">
        <v>130</v>
      </c>
    </row>
    <row r="18" customFormat="false" ht="15" hidden="false" customHeight="false" outlineLevel="0" collapsed="false">
      <c r="A18" s="2" t="n">
        <v>2</v>
      </c>
      <c r="B18" s="2" t="s">
        <v>120</v>
      </c>
      <c r="C18" s="2" t="n">
        <v>5</v>
      </c>
      <c r="D18" s="2" t="n">
        <v>7</v>
      </c>
      <c r="E18" s="2" t="n">
        <v>130</v>
      </c>
      <c r="F18" s="2" t="s">
        <v>130</v>
      </c>
    </row>
    <row r="19" customFormat="false" ht="15" hidden="false" customHeight="false" outlineLevel="0" collapsed="false">
      <c r="A19" s="2" t="n">
        <v>2</v>
      </c>
      <c r="B19" s="2" t="s">
        <v>120</v>
      </c>
      <c r="C19" s="2" t="n">
        <v>6</v>
      </c>
      <c r="D19" s="2" t="n">
        <v>7</v>
      </c>
      <c r="E19" s="2" t="n">
        <v>130</v>
      </c>
      <c r="F19" s="2" t="s">
        <v>130</v>
      </c>
    </row>
    <row r="20" customFormat="false" ht="15" hidden="false" customHeight="false" outlineLevel="0" collapsed="false">
      <c r="A20" s="2" t="n">
        <v>2</v>
      </c>
      <c r="B20" s="2" t="s">
        <v>120</v>
      </c>
      <c r="C20" s="2" t="n">
        <v>8</v>
      </c>
      <c r="D20" s="2" t="n">
        <v>7</v>
      </c>
      <c r="E20" s="2" t="n">
        <v>130</v>
      </c>
      <c r="F20" s="2" t="s">
        <v>131</v>
      </c>
    </row>
    <row r="23" customFormat="false" ht="15" hidden="false" customHeight="false" outlineLevel="0" collapsed="false">
      <c r="A23" s="4" t="s">
        <v>135</v>
      </c>
      <c r="B23" s="4"/>
      <c r="C23" s="4"/>
      <c r="D23" s="4"/>
      <c r="E23" s="4"/>
      <c r="F23" s="4"/>
    </row>
    <row r="24" customFormat="false" ht="26.85" hidden="false" customHeight="false" outlineLevel="0" collapsed="false">
      <c r="A24" s="1" t="s">
        <v>33</v>
      </c>
      <c r="B24" s="1" t="s">
        <v>0</v>
      </c>
      <c r="C24" s="1" t="s">
        <v>136</v>
      </c>
    </row>
    <row r="25" customFormat="false" ht="15" hidden="false" customHeight="false" outlineLevel="0" collapsed="false">
      <c r="A25" s="5" t="n">
        <v>1</v>
      </c>
      <c r="B25" s="5" t="n">
        <v>1</v>
      </c>
      <c r="C25" s="5" t="n">
        <f aca="false">SUMIFS(E2:E20,A2:A20,A25,C2:C20,B25,F2:F20,"No")</f>
        <v>32</v>
      </c>
    </row>
    <row r="26" customFormat="false" ht="15" hidden="false" customHeight="false" outlineLevel="0" collapsed="false">
      <c r="A26" s="5" t="n">
        <v>1</v>
      </c>
      <c r="B26" s="5" t="n">
        <v>2</v>
      </c>
      <c r="C26" s="5" t="n">
        <f aca="false">SUMIFS(E2:E20,A2:A20,A26,C2:C20,B26,F2:F20,"No")</f>
        <v>90</v>
      </c>
    </row>
    <row r="27" customFormat="false" ht="15" hidden="false" customHeight="false" outlineLevel="0" collapsed="false">
      <c r="A27" s="5" t="n">
        <v>1</v>
      </c>
      <c r="B27" s="5" t="n">
        <v>3</v>
      </c>
      <c r="C27" s="5" t="n">
        <f aca="false">SUMIFS(E2:E20,A2:A20,A27,C2:C20,B27,F2:F20,"No")</f>
        <v>32</v>
      </c>
    </row>
    <row r="28" customFormat="false" ht="15" hidden="false" customHeight="false" outlineLevel="0" collapsed="false">
      <c r="A28" s="5" t="n">
        <v>2</v>
      </c>
      <c r="B28" s="5" t="n">
        <v>5</v>
      </c>
      <c r="C28" s="5" t="n">
        <f aca="false">SUMIFS(E2:E20,A2:A20,A28,C2:C20,B28,F2:F20,"No")</f>
        <v>170</v>
      </c>
    </row>
    <row r="29" customFormat="false" ht="15" hidden="false" customHeight="false" outlineLevel="0" collapsed="false">
      <c r="A29" s="5" t="n">
        <v>2</v>
      </c>
      <c r="B29" s="5" t="n">
        <v>6</v>
      </c>
      <c r="C29" s="5" t="n">
        <f aca="false">SUMIFS(E2:E20,A2:A20,A29,C2:C20,B29,F2:F20,"No")</f>
        <v>150</v>
      </c>
    </row>
    <row r="30" customFormat="false" ht="15" hidden="false" customHeight="false" outlineLevel="0" collapsed="false">
      <c r="A30" s="5" t="n">
        <v>2</v>
      </c>
      <c r="B30" s="5" t="n">
        <v>8</v>
      </c>
      <c r="C30" s="5" t="n">
        <f aca="false">SUMIFS(E2:E20,A2:A20,A30,C2:C20,B30,F2:F20,"No")</f>
        <v>280</v>
      </c>
    </row>
    <row r="32" customFormat="false" ht="15" hidden="false" customHeight="false" outlineLevel="0" collapsed="false">
      <c r="A32" s="3" t="s">
        <v>137</v>
      </c>
      <c r="B32" s="3"/>
      <c r="C32" s="3"/>
      <c r="D32" s="3"/>
      <c r="E32" s="3"/>
      <c r="F32" s="3"/>
    </row>
  </sheetData>
  <mergeCells count="2">
    <mergeCell ref="A23:F23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2026-09-03T06:25:33Z</dcterms:created>
  <dc:creator>openpyxl</dc:creator>
  <dc:description/>
  <dc:language>en-US</dc:language>
  <cp:lastModifiedBy/>
  <dcterms:modified xsi:type="dcterms:W3CDTF">2026-09-03T06:25:33Z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